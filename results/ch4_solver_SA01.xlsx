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モデル" sheetId="1" state="visible" r:id="rId1"/>
    <sheet xmlns:r="http://schemas.openxmlformats.org/officeDocument/2006/relationships" name="計算用" sheetId="2" state="hidden" r:id="rId2"/>
  </sheets>
  <definedNames>
    <definedName name="solver_opt" localSheetId="0" hidden="1">'モデル'!$E$4</definedName>
    <definedName name="solver_typ" localSheetId="0" hidden="1">2</definedName>
    <definedName name="solver_val" localSheetId="0" hidden="1">0</definedName>
    <definedName name="solver_adj" localSheetId="0" hidden="1">'モデル'!$E$29:$L$45,'モデル'!$E$47:$L$47</definedName>
    <definedName name="solver_eng" localSheetId="0" hidden="1">2</definedName>
    <definedName name="solver_neg" localSheetId="0" hidden="1">1</definedName>
    <definedName name="solver_ver" localSheetId="0" hidden="1">3</definedName>
    <definedName name="solver_rlx" localSheetId="0" hidden="1">2</definedName>
    <definedName name="solver_tol" localSheetId="0" hidden="1">0</definedName>
    <definedName name="solver_num" localSheetId="0" hidden="1">5</definedName>
    <definedName name="solver_lhs1" localSheetId="0" hidden="1">'モデル'!$M$29:$M$45</definedName>
    <definedName name="solver_rel1" localSheetId="0" hidden="1">2</definedName>
    <definedName name="solver_rhs1" localSheetId="0" hidden="1">1</definedName>
    <definedName name="solver_lhs2" localSheetId="0" hidden="1">'モデル'!$E$48:$L$48</definedName>
    <definedName name="solver_rel2" localSheetId="0" hidden="1">1</definedName>
    <definedName name="solver_rhs2" localSheetId="0" hidden="1">'モデル'!$E$49:$L$49</definedName>
    <definedName name="solver_lhs3" localSheetId="0" hidden="1">'モデル'!$M$47</definedName>
    <definedName name="solver_rel3" localSheetId="0" hidden="1">1</definedName>
    <definedName name="solver_rhs3" localSheetId="0" hidden="1">'モデル'!$C$3</definedName>
    <definedName name="solver_lhs4" localSheetId="0" hidden="1">'モデル'!$E$29:$L$45</definedName>
    <definedName name="solver_rel4" localSheetId="0" hidden="1">5</definedName>
    <definedName name="solver_rhs4" localSheetId="0" hidden="1">"binary"</definedName>
    <definedName name="solver_lhs5" localSheetId="0" hidden="1">'モデル'!$E$47:$L$47</definedName>
    <definedName name="solver_rel5" localSheetId="0" hidden="1">5</definedName>
    <definedName name="solver_rhs5" localSheetId="0" hidden="1">"binary"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/>
    <font>
      <b val="1"/>
    </font>
  </fonts>
  <fills count="5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FFF2CC"/>
      </patternFill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3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</cols>
  <sheetData>
    <row r="1">
      <c r="A1" s="1" t="inlineStr">
        <is>
          <t>ビンの寸法を選ぶ（SA-01、寸法候補8種類）― Excelソルバー版</t>
        </is>
      </c>
    </row>
    <row r="3">
      <c r="A3" s="2" t="inlineStr">
        <is>
          <t>採用する種類数 K</t>
        </is>
      </c>
      <c r="E3" s="3" t="n">
        <v>3</v>
      </c>
    </row>
    <row r="4">
      <c r="A4" s="4" t="inlineStr">
        <is>
          <t>必要面積［目的セル・最小化］</t>
        </is>
      </c>
      <c r="E4" s="5">
        <f>SUMPRODUCT('計算用'!E9:L25,E29:L45)</f>
        <v/>
      </c>
    </row>
    <row r="5">
      <c r="A5" s="2" t="inlineStr">
        <is>
          <t>ビン1個の面積（ブロック）</t>
        </is>
      </c>
      <c r="E5" s="6" t="n">
        <v>1</v>
      </c>
      <c r="F5" s="6" t="n">
        <v>2</v>
      </c>
      <c r="G5" s="6" t="n">
        <v>4</v>
      </c>
      <c r="H5" s="6" t="n">
        <v>3</v>
      </c>
      <c r="I5" s="6" t="n">
        <v>6</v>
      </c>
      <c r="J5" s="6" t="n">
        <v>8</v>
      </c>
      <c r="K5" s="6" t="n">
        <v>12</v>
      </c>
      <c r="L5" s="6" t="n">
        <v>16</v>
      </c>
    </row>
    <row r="7">
      <c r="A7" s="4" t="inlineStr">
        <is>
          <t>① 必要なビンの数 n（前計算。空欄＝入らない）</t>
        </is>
      </c>
    </row>
    <row r="8">
      <c r="A8" s="7" t="inlineStr">
        <is>
          <t>部品番号</t>
        </is>
      </c>
      <c r="B8" s="7" t="inlineStr">
        <is>
          <t>部品名</t>
        </is>
      </c>
      <c r="C8" s="8" t="inlineStr">
        <is>
          <t>寸法(mm)</t>
        </is>
      </c>
      <c r="D8" s="8" t="inlineStr">
        <is>
          <t>数量</t>
        </is>
      </c>
      <c r="E8" s="8" t="inlineStr">
        <is>
          <t>75x75</t>
        </is>
      </c>
      <c r="F8" s="8" t="inlineStr">
        <is>
          <t>150x75</t>
        </is>
      </c>
      <c r="G8" s="8" t="inlineStr">
        <is>
          <t>150x150</t>
        </is>
      </c>
      <c r="H8" s="8" t="inlineStr">
        <is>
          <t>225x75</t>
        </is>
      </c>
      <c r="I8" s="8" t="inlineStr">
        <is>
          <t>225x150</t>
        </is>
      </c>
      <c r="J8" s="8" t="inlineStr">
        <is>
          <t>300x150</t>
        </is>
      </c>
      <c r="K8" s="8" t="inlineStr">
        <is>
          <t>300x225</t>
        </is>
      </c>
      <c r="L8" s="8" t="inlineStr">
        <is>
          <t>300x300</t>
        </is>
      </c>
    </row>
    <row r="9">
      <c r="A9" s="9" t="inlineStr">
        <is>
          <t>P-58407</t>
        </is>
      </c>
      <c r="B9" s="9" t="inlineStr">
        <is>
          <t>ナット</t>
        </is>
      </c>
      <c r="C9" s="6" t="inlineStr">
        <is>
          <t>20×22</t>
        </is>
      </c>
      <c r="D9" s="6" t="n">
        <v>14</v>
      </c>
      <c r="E9" s="6" t="n">
        <v>1</v>
      </c>
      <c r="F9" s="6" t="n">
        <v>1</v>
      </c>
      <c r="G9" s="6" t="n">
        <v>1</v>
      </c>
      <c r="H9" s="6" t="n">
        <v>1</v>
      </c>
      <c r="I9" s="6" t="n">
        <v>1</v>
      </c>
      <c r="J9" s="6" t="n">
        <v>1</v>
      </c>
      <c r="K9" s="6" t="n">
        <v>1</v>
      </c>
      <c r="L9" s="6" t="n">
        <v>1</v>
      </c>
    </row>
    <row r="10">
      <c r="A10" s="9" t="inlineStr">
        <is>
          <t>P-81053</t>
        </is>
      </c>
      <c r="B10" s="9" t="inlineStr">
        <is>
          <t>センサ</t>
        </is>
      </c>
      <c r="C10" s="6" t="inlineStr">
        <is>
          <t>34×75</t>
        </is>
      </c>
      <c r="D10" s="6" t="n">
        <v>2</v>
      </c>
      <c r="E10" s="6" t="n"/>
      <c r="F10" s="6" t="n">
        <v>2</v>
      </c>
      <c r="G10" s="6" t="n">
        <v>1</v>
      </c>
      <c r="H10" s="6" t="n">
        <v>1</v>
      </c>
      <c r="I10" s="6" t="n">
        <v>1</v>
      </c>
      <c r="J10" s="6" t="n">
        <v>1</v>
      </c>
      <c r="K10" s="6" t="n">
        <v>1</v>
      </c>
      <c r="L10" s="6" t="n">
        <v>1</v>
      </c>
    </row>
    <row r="11">
      <c r="A11" s="9" t="inlineStr">
        <is>
          <t>P-84289</t>
        </is>
      </c>
      <c r="B11" s="9" t="inlineStr">
        <is>
          <t>スペーサ</t>
        </is>
      </c>
      <c r="C11" s="6" t="inlineStr">
        <is>
          <t>21×21</t>
        </is>
      </c>
      <c r="D11" s="6" t="n">
        <v>23</v>
      </c>
      <c r="E11" s="6" t="n">
        <v>1</v>
      </c>
      <c r="F11" s="6" t="n">
        <v>1</v>
      </c>
      <c r="G11" s="6" t="n">
        <v>1</v>
      </c>
      <c r="H11" s="6" t="n">
        <v>1</v>
      </c>
      <c r="I11" s="6" t="n">
        <v>1</v>
      </c>
      <c r="J11" s="6" t="n">
        <v>1</v>
      </c>
      <c r="K11" s="6" t="n">
        <v>1</v>
      </c>
      <c r="L11" s="6" t="n">
        <v>1</v>
      </c>
    </row>
    <row r="12">
      <c r="A12" s="9" t="inlineStr">
        <is>
          <t>P-63881</t>
        </is>
      </c>
      <c r="B12" s="9" t="inlineStr">
        <is>
          <t>センサ</t>
        </is>
      </c>
      <c r="C12" s="6" t="inlineStr">
        <is>
          <t>36×88</t>
        </is>
      </c>
      <c r="D12" s="6" t="n">
        <v>1</v>
      </c>
      <c r="E12" s="6" t="n"/>
      <c r="F12" s="6" t="n">
        <v>1</v>
      </c>
      <c r="G12" s="6" t="n">
        <v>1</v>
      </c>
      <c r="H12" s="6" t="n">
        <v>1</v>
      </c>
      <c r="I12" s="6" t="n">
        <v>1</v>
      </c>
      <c r="J12" s="6" t="n">
        <v>1</v>
      </c>
      <c r="K12" s="6" t="n">
        <v>1</v>
      </c>
      <c r="L12" s="6" t="n">
        <v>1</v>
      </c>
    </row>
    <row r="13">
      <c r="A13" s="9" t="inlineStr">
        <is>
          <t>P-44602</t>
        </is>
      </c>
      <c r="B13" s="9" t="inlineStr">
        <is>
          <t>ねじ</t>
        </is>
      </c>
      <c r="C13" s="6" t="inlineStr">
        <is>
          <t>8×37</t>
        </is>
      </c>
      <c r="D13" s="6" t="n">
        <v>22</v>
      </c>
      <c r="E13" s="6" t="n">
        <v>1</v>
      </c>
      <c r="F13" s="6" t="n">
        <v>1</v>
      </c>
      <c r="G13" s="6" t="n">
        <v>1</v>
      </c>
      <c r="H13" s="6" t="n">
        <v>1</v>
      </c>
      <c r="I13" s="6" t="n">
        <v>1</v>
      </c>
      <c r="J13" s="6" t="n">
        <v>1</v>
      </c>
      <c r="K13" s="6" t="n">
        <v>1</v>
      </c>
      <c r="L13" s="6" t="n">
        <v>1</v>
      </c>
    </row>
    <row r="14">
      <c r="A14" s="9" t="inlineStr">
        <is>
          <t>P-79847</t>
        </is>
      </c>
      <c r="B14" s="9" t="inlineStr">
        <is>
          <t>ワッシャ</t>
        </is>
      </c>
      <c r="C14" s="6" t="inlineStr">
        <is>
          <t>22×22</t>
        </is>
      </c>
      <c r="D14" s="6" t="n">
        <v>4</v>
      </c>
      <c r="E14" s="6" t="n">
        <v>1</v>
      </c>
      <c r="F14" s="6" t="n">
        <v>1</v>
      </c>
      <c r="G14" s="6" t="n">
        <v>1</v>
      </c>
      <c r="H14" s="6" t="n">
        <v>1</v>
      </c>
      <c r="I14" s="6" t="n">
        <v>1</v>
      </c>
      <c r="J14" s="6" t="n">
        <v>1</v>
      </c>
      <c r="K14" s="6" t="n">
        <v>1</v>
      </c>
      <c r="L14" s="6" t="n">
        <v>1</v>
      </c>
    </row>
    <row r="15">
      <c r="A15" s="9" t="inlineStr">
        <is>
          <t>P-61411</t>
        </is>
      </c>
      <c r="B15" s="9" t="inlineStr">
        <is>
          <t>ブラケット</t>
        </is>
      </c>
      <c r="C15" s="6" t="inlineStr">
        <is>
          <t>27×50</t>
        </is>
      </c>
      <c r="D15" s="6" t="n">
        <v>4</v>
      </c>
      <c r="E15" s="6" t="n">
        <v>2</v>
      </c>
      <c r="F15" s="6" t="n">
        <v>1</v>
      </c>
      <c r="G15" s="6" t="n">
        <v>1</v>
      </c>
      <c r="H15" s="6" t="n">
        <v>1</v>
      </c>
      <c r="I15" s="6" t="n">
        <v>1</v>
      </c>
      <c r="J15" s="6" t="n">
        <v>1</v>
      </c>
      <c r="K15" s="6" t="n">
        <v>1</v>
      </c>
      <c r="L15" s="6" t="n">
        <v>1</v>
      </c>
    </row>
    <row r="16">
      <c r="A16" s="9" t="inlineStr">
        <is>
          <t>P-19835</t>
        </is>
      </c>
      <c r="B16" s="9" t="inlineStr">
        <is>
          <t>継手</t>
        </is>
      </c>
      <c r="C16" s="6" t="inlineStr">
        <is>
          <t>23×85</t>
        </is>
      </c>
      <c r="D16" s="6" t="n">
        <v>3</v>
      </c>
      <c r="E16" s="6" t="n"/>
      <c r="F16" s="6" t="n">
        <v>2</v>
      </c>
      <c r="G16" s="6" t="n">
        <v>1</v>
      </c>
      <c r="H16" s="6" t="n">
        <v>1</v>
      </c>
      <c r="I16" s="6" t="n">
        <v>1</v>
      </c>
      <c r="J16" s="6" t="n">
        <v>1</v>
      </c>
      <c r="K16" s="6" t="n">
        <v>1</v>
      </c>
      <c r="L16" s="6" t="n">
        <v>1</v>
      </c>
    </row>
    <row r="17">
      <c r="A17" s="9" t="inlineStr">
        <is>
          <t>P-11058</t>
        </is>
      </c>
      <c r="B17" s="9" t="inlineStr">
        <is>
          <t>バルブ</t>
        </is>
      </c>
      <c r="C17" s="6" t="inlineStr">
        <is>
          <t>87×157</t>
        </is>
      </c>
      <c r="D17" s="6" t="n">
        <v>2</v>
      </c>
      <c r="E17" s="6" t="n"/>
      <c r="F17" s="6" t="n"/>
      <c r="G17" s="6" t="n"/>
      <c r="H17" s="6" t="n"/>
      <c r="I17" s="6" t="n">
        <v>2</v>
      </c>
      <c r="J17" s="6" t="n">
        <v>2</v>
      </c>
      <c r="K17" s="6" t="n">
        <v>1</v>
      </c>
      <c r="L17" s="6" t="n">
        <v>1</v>
      </c>
    </row>
    <row r="18">
      <c r="A18" s="9" t="inlineStr">
        <is>
          <t>P-36550</t>
        </is>
      </c>
      <c r="B18" s="9" t="inlineStr">
        <is>
          <t>ユニット</t>
        </is>
      </c>
      <c r="C18" s="6" t="inlineStr">
        <is>
          <t>95×120</t>
        </is>
      </c>
      <c r="D18" s="6" t="n">
        <v>1</v>
      </c>
      <c r="E18" s="6" t="n"/>
      <c r="F18" s="6" t="n"/>
      <c r="G18" s="6" t="n">
        <v>1</v>
      </c>
      <c r="H18" s="6" t="n"/>
      <c r="I18" s="6" t="n">
        <v>1</v>
      </c>
      <c r="J18" s="6" t="n">
        <v>1</v>
      </c>
      <c r="K18" s="6" t="n">
        <v>1</v>
      </c>
      <c r="L18" s="6" t="n">
        <v>1</v>
      </c>
    </row>
    <row r="19">
      <c r="A19" s="9" t="inlineStr">
        <is>
          <t>P-57509</t>
        </is>
      </c>
      <c r="B19" s="9" t="inlineStr">
        <is>
          <t>ボルト</t>
        </is>
      </c>
      <c r="C19" s="6" t="inlineStr">
        <is>
          <t>12×12</t>
        </is>
      </c>
      <c r="D19" s="6" t="n">
        <v>17</v>
      </c>
      <c r="E19" s="6" t="n">
        <v>1</v>
      </c>
      <c r="F19" s="6" t="n">
        <v>1</v>
      </c>
      <c r="G19" s="6" t="n">
        <v>1</v>
      </c>
      <c r="H19" s="6" t="n">
        <v>1</v>
      </c>
      <c r="I19" s="6" t="n">
        <v>1</v>
      </c>
      <c r="J19" s="6" t="n">
        <v>1</v>
      </c>
      <c r="K19" s="6" t="n">
        <v>1</v>
      </c>
      <c r="L19" s="6" t="n">
        <v>1</v>
      </c>
    </row>
    <row r="20">
      <c r="A20" s="9" t="inlineStr">
        <is>
          <t>P-55392</t>
        </is>
      </c>
      <c r="B20" s="9" t="inlineStr">
        <is>
          <t>スペーサ</t>
        </is>
      </c>
      <c r="C20" s="6" t="inlineStr">
        <is>
          <t>15×19</t>
        </is>
      </c>
      <c r="D20" s="6" t="n">
        <v>22</v>
      </c>
      <c r="E20" s="6" t="n">
        <v>1</v>
      </c>
      <c r="F20" s="6" t="n">
        <v>1</v>
      </c>
      <c r="G20" s="6" t="n">
        <v>1</v>
      </c>
      <c r="H20" s="6" t="n">
        <v>1</v>
      </c>
      <c r="I20" s="6" t="n">
        <v>1</v>
      </c>
      <c r="J20" s="6" t="n">
        <v>1</v>
      </c>
      <c r="K20" s="6" t="n">
        <v>1</v>
      </c>
      <c r="L20" s="6" t="n">
        <v>1</v>
      </c>
    </row>
    <row r="21">
      <c r="A21" s="9" t="inlineStr">
        <is>
          <t>P-72339</t>
        </is>
      </c>
      <c r="B21" s="9" t="inlineStr">
        <is>
          <t>フレーム</t>
        </is>
      </c>
      <c r="C21" s="6" t="inlineStr">
        <is>
          <t>172×236</t>
        </is>
      </c>
      <c r="D21" s="6" t="n">
        <v>1</v>
      </c>
      <c r="E21" s="6" t="n"/>
      <c r="F21" s="6" t="n"/>
      <c r="G21" s="6" t="n"/>
      <c r="H21" s="6" t="n"/>
      <c r="I21" s="6" t="n"/>
      <c r="J21" s="6" t="n"/>
      <c r="K21" s="6" t="n">
        <v>1</v>
      </c>
      <c r="L21" s="6" t="n">
        <v>1</v>
      </c>
    </row>
    <row r="22">
      <c r="A22" s="9" t="inlineStr">
        <is>
          <t>P-95547</t>
        </is>
      </c>
      <c r="B22" s="9" t="inlineStr">
        <is>
          <t>スペーサ</t>
        </is>
      </c>
      <c r="C22" s="6" t="inlineStr">
        <is>
          <t>23×23</t>
        </is>
      </c>
      <c r="D22" s="6" t="n">
        <v>20</v>
      </c>
      <c r="E22" s="6" t="n">
        <v>1</v>
      </c>
      <c r="F22" s="6" t="n">
        <v>1</v>
      </c>
      <c r="G22" s="6" t="n">
        <v>1</v>
      </c>
      <c r="H22" s="6" t="n">
        <v>1</v>
      </c>
      <c r="I22" s="6" t="n">
        <v>1</v>
      </c>
      <c r="J22" s="6" t="n">
        <v>1</v>
      </c>
      <c r="K22" s="6" t="n">
        <v>1</v>
      </c>
      <c r="L22" s="6" t="n">
        <v>1</v>
      </c>
    </row>
    <row r="23">
      <c r="A23" s="9" t="inlineStr">
        <is>
          <t>P-93576</t>
        </is>
      </c>
      <c r="B23" s="9" t="inlineStr">
        <is>
          <t>継手</t>
        </is>
      </c>
      <c r="C23" s="6" t="inlineStr">
        <is>
          <t>35×84</t>
        </is>
      </c>
      <c r="D23" s="6" t="n">
        <v>2</v>
      </c>
      <c r="E23" s="6" t="n"/>
      <c r="F23" s="6" t="n">
        <v>2</v>
      </c>
      <c r="G23" s="6" t="n">
        <v>1</v>
      </c>
      <c r="H23" s="6" t="n">
        <v>1</v>
      </c>
      <c r="I23" s="6" t="n">
        <v>1</v>
      </c>
      <c r="J23" s="6" t="n">
        <v>1</v>
      </c>
      <c r="K23" s="6" t="n">
        <v>1</v>
      </c>
      <c r="L23" s="6" t="n">
        <v>1</v>
      </c>
    </row>
    <row r="24">
      <c r="A24" s="9" t="inlineStr">
        <is>
          <t>P-36241</t>
        </is>
      </c>
      <c r="B24" s="9" t="inlineStr">
        <is>
          <t>センサ</t>
        </is>
      </c>
      <c r="C24" s="6" t="inlineStr">
        <is>
          <t>38×44</t>
        </is>
      </c>
      <c r="D24" s="6" t="n">
        <v>3</v>
      </c>
      <c r="E24" s="6" t="n">
        <v>3</v>
      </c>
      <c r="F24" s="6" t="n">
        <v>1</v>
      </c>
      <c r="G24" s="6" t="n">
        <v>1</v>
      </c>
      <c r="H24" s="6" t="n">
        <v>1</v>
      </c>
      <c r="I24" s="6" t="n">
        <v>1</v>
      </c>
      <c r="J24" s="6" t="n">
        <v>1</v>
      </c>
      <c r="K24" s="6" t="n">
        <v>1</v>
      </c>
      <c r="L24" s="6" t="n">
        <v>1</v>
      </c>
    </row>
    <row r="25">
      <c r="A25" s="9" t="inlineStr">
        <is>
          <t>P-23528</t>
        </is>
      </c>
      <c r="B25" s="9" t="inlineStr">
        <is>
          <t>ワッシャ</t>
        </is>
      </c>
      <c r="C25" s="6" t="inlineStr">
        <is>
          <t>19×22</t>
        </is>
      </c>
      <c r="D25" s="6" t="n">
        <v>9</v>
      </c>
      <c r="E25" s="6" t="n">
        <v>1</v>
      </c>
      <c r="F25" s="6" t="n">
        <v>1</v>
      </c>
      <c r="G25" s="6" t="n">
        <v>1</v>
      </c>
      <c r="H25" s="6" t="n">
        <v>1</v>
      </c>
      <c r="I25" s="6" t="n">
        <v>1</v>
      </c>
      <c r="J25" s="6" t="n">
        <v>1</v>
      </c>
      <c r="K25" s="6" t="n">
        <v>1</v>
      </c>
      <c r="L25" s="6" t="n">
        <v>1</v>
      </c>
    </row>
    <row r="27">
      <c r="A27" s="4" t="inlineStr">
        <is>
          <t>② x：部品をその寸法のビンに入れるか（0/1、変数セル）</t>
        </is>
      </c>
    </row>
    <row r="28">
      <c r="A28" s="7" t="inlineStr">
        <is>
          <t>部品番号</t>
        </is>
      </c>
      <c r="B28" s="7" t="inlineStr">
        <is>
          <t>部品名</t>
        </is>
      </c>
      <c r="C28" s="8" t="inlineStr">
        <is>
          <t>寸法(mm)</t>
        </is>
      </c>
      <c r="D28" s="8" t="inlineStr">
        <is>
          <t>数量</t>
        </is>
      </c>
      <c r="E28" s="8" t="inlineStr">
        <is>
          <t>75x75</t>
        </is>
      </c>
      <c r="F28" s="8" t="inlineStr">
        <is>
          <t>150x75</t>
        </is>
      </c>
      <c r="G28" s="8" t="inlineStr">
        <is>
          <t>150x150</t>
        </is>
      </c>
      <c r="H28" s="8" t="inlineStr">
        <is>
          <t>225x75</t>
        </is>
      </c>
      <c r="I28" s="8" t="inlineStr">
        <is>
          <t>225x150</t>
        </is>
      </c>
      <c r="J28" s="8" t="inlineStr">
        <is>
          <t>300x150</t>
        </is>
      </c>
      <c r="K28" s="8" t="inlineStr">
        <is>
          <t>300x225</t>
        </is>
      </c>
      <c r="L28" s="8" t="inlineStr">
        <is>
          <t>300x300</t>
        </is>
      </c>
      <c r="M28" s="8" t="inlineStr">
        <is>
          <t>合計＝1</t>
        </is>
      </c>
    </row>
    <row r="29">
      <c r="A29" s="9" t="inlineStr">
        <is>
          <t>P-58407</t>
        </is>
      </c>
      <c r="B29" s="9" t="inlineStr">
        <is>
          <t>ナット</t>
        </is>
      </c>
      <c r="C29" s="6" t="inlineStr">
        <is>
          <t>20×22</t>
        </is>
      </c>
      <c r="D29" s="6" t="n">
        <v>14</v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6">
        <f>SUM(E29:L29)</f>
        <v/>
      </c>
    </row>
    <row r="30">
      <c r="A30" s="9" t="inlineStr">
        <is>
          <t>P-81053</t>
        </is>
      </c>
      <c r="B30" s="9" t="inlineStr">
        <is>
          <t>センサ</t>
        </is>
      </c>
      <c r="C30" s="6" t="inlineStr">
        <is>
          <t>34×75</t>
        </is>
      </c>
      <c r="D30" s="6" t="n">
        <v>2</v>
      </c>
      <c r="E30" s="10" t="n">
        <v>0</v>
      </c>
      <c r="F30" s="10" t="n">
        <v>0</v>
      </c>
      <c r="G30" s="10" t="n">
        <v>0</v>
      </c>
      <c r="H30" s="10" t="n">
        <v>0</v>
      </c>
      <c r="I30" s="10" t="n">
        <v>0</v>
      </c>
      <c r="J30" s="10" t="n">
        <v>0</v>
      </c>
      <c r="K30" s="10" t="n">
        <v>0</v>
      </c>
      <c r="L30" s="10" t="n">
        <v>0</v>
      </c>
      <c r="M30" s="6">
        <f>SUM(E30:L30)</f>
        <v/>
      </c>
    </row>
    <row r="31">
      <c r="A31" s="9" t="inlineStr">
        <is>
          <t>P-84289</t>
        </is>
      </c>
      <c r="B31" s="9" t="inlineStr">
        <is>
          <t>スペーサ</t>
        </is>
      </c>
      <c r="C31" s="6" t="inlineStr">
        <is>
          <t>21×21</t>
        </is>
      </c>
      <c r="D31" s="6" t="n">
        <v>23</v>
      </c>
      <c r="E31" s="10" t="n">
        <v>0</v>
      </c>
      <c r="F31" s="10" t="n">
        <v>0</v>
      </c>
      <c r="G31" s="10" t="n">
        <v>0</v>
      </c>
      <c r="H31" s="10" t="n">
        <v>0</v>
      </c>
      <c r="I31" s="10" t="n">
        <v>0</v>
      </c>
      <c r="J31" s="10" t="n">
        <v>0</v>
      </c>
      <c r="K31" s="10" t="n">
        <v>0</v>
      </c>
      <c r="L31" s="10" t="n">
        <v>0</v>
      </c>
      <c r="M31" s="6">
        <f>SUM(E31:L31)</f>
        <v/>
      </c>
    </row>
    <row r="32">
      <c r="A32" s="9" t="inlineStr">
        <is>
          <t>P-63881</t>
        </is>
      </c>
      <c r="B32" s="9" t="inlineStr">
        <is>
          <t>センサ</t>
        </is>
      </c>
      <c r="C32" s="6" t="inlineStr">
        <is>
          <t>36×88</t>
        </is>
      </c>
      <c r="D32" s="6" t="n">
        <v>1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6">
        <f>SUM(E32:L32)</f>
        <v/>
      </c>
    </row>
    <row r="33">
      <c r="A33" s="9" t="inlineStr">
        <is>
          <t>P-44602</t>
        </is>
      </c>
      <c r="B33" s="9" t="inlineStr">
        <is>
          <t>ねじ</t>
        </is>
      </c>
      <c r="C33" s="6" t="inlineStr">
        <is>
          <t>8×37</t>
        </is>
      </c>
      <c r="D33" s="6" t="n">
        <v>22</v>
      </c>
      <c r="E33" s="10" t="n">
        <v>0</v>
      </c>
      <c r="F33" s="10" t="n">
        <v>0</v>
      </c>
      <c r="G33" s="10" t="n">
        <v>0</v>
      </c>
      <c r="H33" s="10" t="n">
        <v>0</v>
      </c>
      <c r="I33" s="10" t="n">
        <v>0</v>
      </c>
      <c r="J33" s="10" t="n">
        <v>0</v>
      </c>
      <c r="K33" s="10" t="n">
        <v>0</v>
      </c>
      <c r="L33" s="10" t="n">
        <v>0</v>
      </c>
      <c r="M33" s="6">
        <f>SUM(E33:L33)</f>
        <v/>
      </c>
    </row>
    <row r="34">
      <c r="A34" s="9" t="inlineStr">
        <is>
          <t>P-79847</t>
        </is>
      </c>
      <c r="B34" s="9" t="inlineStr">
        <is>
          <t>ワッシャ</t>
        </is>
      </c>
      <c r="C34" s="6" t="inlineStr">
        <is>
          <t>22×22</t>
        </is>
      </c>
      <c r="D34" s="6" t="n">
        <v>4</v>
      </c>
      <c r="E34" s="10" t="n">
        <v>0</v>
      </c>
      <c r="F34" s="10" t="n">
        <v>0</v>
      </c>
      <c r="G34" s="10" t="n">
        <v>0</v>
      </c>
      <c r="H34" s="10" t="n">
        <v>0</v>
      </c>
      <c r="I34" s="10" t="n">
        <v>0</v>
      </c>
      <c r="J34" s="10" t="n">
        <v>0</v>
      </c>
      <c r="K34" s="10" t="n">
        <v>0</v>
      </c>
      <c r="L34" s="10" t="n">
        <v>0</v>
      </c>
      <c r="M34" s="6">
        <f>SUM(E34:L34)</f>
        <v/>
      </c>
    </row>
    <row r="35">
      <c r="A35" s="9" t="inlineStr">
        <is>
          <t>P-61411</t>
        </is>
      </c>
      <c r="B35" s="9" t="inlineStr">
        <is>
          <t>ブラケット</t>
        </is>
      </c>
      <c r="C35" s="6" t="inlineStr">
        <is>
          <t>27×50</t>
        </is>
      </c>
      <c r="D35" s="6" t="n">
        <v>4</v>
      </c>
      <c r="E35" s="10" t="n">
        <v>0</v>
      </c>
      <c r="F35" s="10" t="n">
        <v>0</v>
      </c>
      <c r="G35" s="10" t="n">
        <v>0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0</v>
      </c>
      <c r="M35" s="6">
        <f>SUM(E35:L35)</f>
        <v/>
      </c>
    </row>
    <row r="36">
      <c r="A36" s="9" t="inlineStr">
        <is>
          <t>P-19835</t>
        </is>
      </c>
      <c r="B36" s="9" t="inlineStr">
        <is>
          <t>継手</t>
        </is>
      </c>
      <c r="C36" s="6" t="inlineStr">
        <is>
          <t>23×85</t>
        </is>
      </c>
      <c r="D36" s="6" t="n">
        <v>3</v>
      </c>
      <c r="E36" s="10" t="n">
        <v>0</v>
      </c>
      <c r="F36" s="10" t="n">
        <v>0</v>
      </c>
      <c r="G36" s="10" t="n">
        <v>0</v>
      </c>
      <c r="H36" s="10" t="n">
        <v>0</v>
      </c>
      <c r="I36" s="10" t="n">
        <v>0</v>
      </c>
      <c r="J36" s="10" t="n">
        <v>0</v>
      </c>
      <c r="K36" s="10" t="n">
        <v>0</v>
      </c>
      <c r="L36" s="10" t="n">
        <v>0</v>
      </c>
      <c r="M36" s="6">
        <f>SUM(E36:L36)</f>
        <v/>
      </c>
    </row>
    <row r="37">
      <c r="A37" s="9" t="inlineStr">
        <is>
          <t>P-11058</t>
        </is>
      </c>
      <c r="B37" s="9" t="inlineStr">
        <is>
          <t>バルブ</t>
        </is>
      </c>
      <c r="C37" s="6" t="inlineStr">
        <is>
          <t>87×157</t>
        </is>
      </c>
      <c r="D37" s="6" t="n">
        <v>2</v>
      </c>
      <c r="E37" s="10" t="n">
        <v>0</v>
      </c>
      <c r="F37" s="10" t="n">
        <v>0</v>
      </c>
      <c r="G37" s="10" t="n">
        <v>0</v>
      </c>
      <c r="H37" s="10" t="n">
        <v>0</v>
      </c>
      <c r="I37" s="10" t="n">
        <v>0</v>
      </c>
      <c r="J37" s="10" t="n">
        <v>0</v>
      </c>
      <c r="K37" s="10" t="n">
        <v>0</v>
      </c>
      <c r="L37" s="10" t="n">
        <v>0</v>
      </c>
      <c r="M37" s="6">
        <f>SUM(E37:L37)</f>
        <v/>
      </c>
    </row>
    <row r="38">
      <c r="A38" s="9" t="inlineStr">
        <is>
          <t>P-36550</t>
        </is>
      </c>
      <c r="B38" s="9" t="inlineStr">
        <is>
          <t>ユニット</t>
        </is>
      </c>
      <c r="C38" s="6" t="inlineStr">
        <is>
          <t>95×120</t>
        </is>
      </c>
      <c r="D38" s="6" t="n">
        <v>1</v>
      </c>
      <c r="E38" s="10" t="n">
        <v>0</v>
      </c>
      <c r="F38" s="10" t="n">
        <v>0</v>
      </c>
      <c r="G38" s="10" t="n">
        <v>0</v>
      </c>
      <c r="H38" s="10" t="n">
        <v>0</v>
      </c>
      <c r="I38" s="10" t="n">
        <v>0</v>
      </c>
      <c r="J38" s="10" t="n">
        <v>0</v>
      </c>
      <c r="K38" s="10" t="n">
        <v>0</v>
      </c>
      <c r="L38" s="10" t="n">
        <v>0</v>
      </c>
      <c r="M38" s="6">
        <f>SUM(E38:L38)</f>
        <v/>
      </c>
    </row>
    <row r="39">
      <c r="A39" s="9" t="inlineStr">
        <is>
          <t>P-57509</t>
        </is>
      </c>
      <c r="B39" s="9" t="inlineStr">
        <is>
          <t>ボルト</t>
        </is>
      </c>
      <c r="C39" s="6" t="inlineStr">
        <is>
          <t>12×12</t>
        </is>
      </c>
      <c r="D39" s="6" t="n">
        <v>17</v>
      </c>
      <c r="E39" s="10" t="n">
        <v>0</v>
      </c>
      <c r="F39" s="10" t="n">
        <v>0</v>
      </c>
      <c r="G39" s="10" t="n">
        <v>0</v>
      </c>
      <c r="H39" s="10" t="n">
        <v>0</v>
      </c>
      <c r="I39" s="10" t="n">
        <v>0</v>
      </c>
      <c r="J39" s="10" t="n">
        <v>0</v>
      </c>
      <c r="K39" s="10" t="n">
        <v>0</v>
      </c>
      <c r="L39" s="10" t="n">
        <v>0</v>
      </c>
      <c r="M39" s="6">
        <f>SUM(E39:L39)</f>
        <v/>
      </c>
    </row>
    <row r="40">
      <c r="A40" s="9" t="inlineStr">
        <is>
          <t>P-55392</t>
        </is>
      </c>
      <c r="B40" s="9" t="inlineStr">
        <is>
          <t>スペーサ</t>
        </is>
      </c>
      <c r="C40" s="6" t="inlineStr">
        <is>
          <t>15×19</t>
        </is>
      </c>
      <c r="D40" s="6" t="n">
        <v>22</v>
      </c>
      <c r="E40" s="10" t="n">
        <v>0</v>
      </c>
      <c r="F40" s="10" t="n">
        <v>0</v>
      </c>
      <c r="G40" s="10" t="n">
        <v>0</v>
      </c>
      <c r="H40" s="10" t="n">
        <v>0</v>
      </c>
      <c r="I40" s="10" t="n">
        <v>0</v>
      </c>
      <c r="J40" s="10" t="n">
        <v>0</v>
      </c>
      <c r="K40" s="10" t="n">
        <v>0</v>
      </c>
      <c r="L40" s="10" t="n">
        <v>0</v>
      </c>
      <c r="M40" s="6">
        <f>SUM(E40:L40)</f>
        <v/>
      </c>
    </row>
    <row r="41">
      <c r="A41" s="9" t="inlineStr">
        <is>
          <t>P-72339</t>
        </is>
      </c>
      <c r="B41" s="9" t="inlineStr">
        <is>
          <t>フレーム</t>
        </is>
      </c>
      <c r="C41" s="6" t="inlineStr">
        <is>
          <t>172×236</t>
        </is>
      </c>
      <c r="D41" s="6" t="n">
        <v>1</v>
      </c>
      <c r="E41" s="10" t="n">
        <v>0</v>
      </c>
      <c r="F41" s="10" t="n">
        <v>0</v>
      </c>
      <c r="G41" s="10" t="n">
        <v>0</v>
      </c>
      <c r="H41" s="10" t="n">
        <v>0</v>
      </c>
      <c r="I41" s="10" t="n">
        <v>0</v>
      </c>
      <c r="J41" s="10" t="n">
        <v>0</v>
      </c>
      <c r="K41" s="10" t="n">
        <v>0</v>
      </c>
      <c r="L41" s="10" t="n">
        <v>0</v>
      </c>
      <c r="M41" s="6">
        <f>SUM(E41:L41)</f>
        <v/>
      </c>
    </row>
    <row r="42">
      <c r="A42" s="9" t="inlineStr">
        <is>
          <t>P-95547</t>
        </is>
      </c>
      <c r="B42" s="9" t="inlineStr">
        <is>
          <t>スペーサ</t>
        </is>
      </c>
      <c r="C42" s="6" t="inlineStr">
        <is>
          <t>23×23</t>
        </is>
      </c>
      <c r="D42" s="6" t="n">
        <v>20</v>
      </c>
      <c r="E42" s="10" t="n">
        <v>0</v>
      </c>
      <c r="F42" s="10" t="n">
        <v>0</v>
      </c>
      <c r="G42" s="10" t="n">
        <v>0</v>
      </c>
      <c r="H42" s="10" t="n">
        <v>0</v>
      </c>
      <c r="I42" s="10" t="n">
        <v>0</v>
      </c>
      <c r="J42" s="10" t="n">
        <v>0</v>
      </c>
      <c r="K42" s="10" t="n">
        <v>0</v>
      </c>
      <c r="L42" s="10" t="n">
        <v>0</v>
      </c>
      <c r="M42" s="6">
        <f>SUM(E42:L42)</f>
        <v/>
      </c>
    </row>
    <row r="43">
      <c r="A43" s="9" t="inlineStr">
        <is>
          <t>P-93576</t>
        </is>
      </c>
      <c r="B43" s="9" t="inlineStr">
        <is>
          <t>継手</t>
        </is>
      </c>
      <c r="C43" s="6" t="inlineStr">
        <is>
          <t>35×84</t>
        </is>
      </c>
      <c r="D43" s="6" t="n">
        <v>2</v>
      </c>
      <c r="E43" s="10" t="n">
        <v>0</v>
      </c>
      <c r="F43" s="10" t="n">
        <v>0</v>
      </c>
      <c r="G43" s="10" t="n">
        <v>0</v>
      </c>
      <c r="H43" s="10" t="n">
        <v>0</v>
      </c>
      <c r="I43" s="10" t="n">
        <v>0</v>
      </c>
      <c r="J43" s="10" t="n">
        <v>0</v>
      </c>
      <c r="K43" s="10" t="n">
        <v>0</v>
      </c>
      <c r="L43" s="10" t="n">
        <v>0</v>
      </c>
      <c r="M43" s="6">
        <f>SUM(E43:L43)</f>
        <v/>
      </c>
    </row>
    <row r="44">
      <c r="A44" s="9" t="inlineStr">
        <is>
          <t>P-36241</t>
        </is>
      </c>
      <c r="B44" s="9" t="inlineStr">
        <is>
          <t>センサ</t>
        </is>
      </c>
      <c r="C44" s="6" t="inlineStr">
        <is>
          <t>38×44</t>
        </is>
      </c>
      <c r="D44" s="6" t="n">
        <v>3</v>
      </c>
      <c r="E44" s="10" t="n">
        <v>0</v>
      </c>
      <c r="F44" s="10" t="n">
        <v>0</v>
      </c>
      <c r="G44" s="10" t="n">
        <v>0</v>
      </c>
      <c r="H44" s="10" t="n">
        <v>0</v>
      </c>
      <c r="I44" s="10" t="n">
        <v>0</v>
      </c>
      <c r="J44" s="10" t="n">
        <v>0</v>
      </c>
      <c r="K44" s="10" t="n">
        <v>0</v>
      </c>
      <c r="L44" s="10" t="n">
        <v>0</v>
      </c>
      <c r="M44" s="6">
        <f>SUM(E44:L44)</f>
        <v/>
      </c>
    </row>
    <row r="45">
      <c r="A45" s="9" t="inlineStr">
        <is>
          <t>P-23528</t>
        </is>
      </c>
      <c r="B45" s="9" t="inlineStr">
        <is>
          <t>ワッシャ</t>
        </is>
      </c>
      <c r="C45" s="6" t="inlineStr">
        <is>
          <t>19×22</t>
        </is>
      </c>
      <c r="D45" s="6" t="n">
        <v>9</v>
      </c>
      <c r="E45" s="10" t="n">
        <v>0</v>
      </c>
      <c r="F45" s="10" t="n">
        <v>0</v>
      </c>
      <c r="G45" s="10" t="n">
        <v>0</v>
      </c>
      <c r="H45" s="10" t="n">
        <v>0</v>
      </c>
      <c r="I45" s="10" t="n">
        <v>0</v>
      </c>
      <c r="J45" s="10" t="n">
        <v>0</v>
      </c>
      <c r="K45" s="10" t="n">
        <v>0</v>
      </c>
      <c r="L45" s="10" t="n">
        <v>0</v>
      </c>
      <c r="M45" s="6">
        <f>SUM(E45:L45)</f>
        <v/>
      </c>
    </row>
    <row r="47">
      <c r="A47" s="4" t="inlineStr">
        <is>
          <t>③ y：その寸法を採用するか（0/1、変数セル）</t>
        </is>
      </c>
      <c r="E47" s="10" t="n">
        <v>0</v>
      </c>
      <c r="F47" s="10" t="n">
        <v>0</v>
      </c>
      <c r="G47" s="10" t="n">
        <v>0</v>
      </c>
      <c r="H47" s="10" t="n">
        <v>0</v>
      </c>
      <c r="I47" s="10" t="n">
        <v>0</v>
      </c>
      <c r="J47" s="10" t="n">
        <v>0</v>
      </c>
      <c r="K47" s="10" t="n">
        <v>0</v>
      </c>
      <c r="L47" s="10" t="n">
        <v>0</v>
      </c>
      <c r="M47" s="6">
        <f>SUM(E47:L47)</f>
        <v/>
      </c>
      <c r="N47" t="inlineStr">
        <is>
          <t>≦ K</t>
        </is>
      </c>
    </row>
    <row r="48">
      <c r="A48" s="2" t="inlineStr">
        <is>
          <t>その寸法に入れた部品の数</t>
        </is>
      </c>
      <c r="E48" s="6">
        <f>SUM(E29:E45)</f>
        <v/>
      </c>
      <c r="F48" s="6">
        <f>SUM(F29:F45)</f>
        <v/>
      </c>
      <c r="G48" s="6">
        <f>SUM(G29:G45)</f>
        <v/>
      </c>
      <c r="H48" s="6">
        <f>SUM(H29:H45)</f>
        <v/>
      </c>
      <c r="I48" s="6">
        <f>SUM(I29:I45)</f>
        <v/>
      </c>
      <c r="J48" s="6">
        <f>SUM(J29:J45)</f>
        <v/>
      </c>
      <c r="K48" s="6">
        <f>SUM(K29:K45)</f>
        <v/>
      </c>
      <c r="L48" s="6">
        <f>SUM(L29:L45)</f>
        <v/>
      </c>
      <c r="M48" s="6" t="n"/>
    </row>
    <row r="49">
      <c r="A49" s="2" t="inlineStr">
        <is>
          <t>≦ 部品の総数（17）× y</t>
        </is>
      </c>
      <c r="E49" s="6">
        <f>17*E47</f>
        <v/>
      </c>
      <c r="F49" s="6">
        <f>17*F47</f>
        <v/>
      </c>
      <c r="G49" s="6">
        <f>17*G47</f>
        <v/>
      </c>
      <c r="H49" s="6">
        <f>17*H47</f>
        <v/>
      </c>
      <c r="I49" s="6">
        <f>17*I47</f>
        <v/>
      </c>
      <c r="J49" s="6">
        <f>17*J47</f>
        <v/>
      </c>
      <c r="K49" s="6">
        <f>17*K47</f>
        <v/>
      </c>
      <c r="L49" s="6">
        <f>17*L47</f>
        <v/>
      </c>
      <c r="M49" s="6" t="n"/>
    </row>
    <row r="51">
      <c r="A51" t="inlineStr">
        <is>
          <t>変数 144 個（x 17×8＋y 8）、制約 26 個（整数条件を除く）。[データ]→[ソルバー]を開き、[解決]を押す。</t>
        </is>
      </c>
    </row>
  </sheetData>
  <mergeCells count="6">
    <mergeCell ref="A5:D5"/>
    <mergeCell ref="A4:D4"/>
    <mergeCell ref="A48:D48"/>
    <mergeCell ref="A3:D3"/>
    <mergeCell ref="A49:D49"/>
    <mergeCell ref="A47:D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E9:L25"/>
  <sheetViews>
    <sheetView workbookViewId="0">
      <selection activeCell="A1" sqref="A1"/>
    </sheetView>
  </sheetViews>
  <sheetFormatPr baseColWidth="8" defaultRowHeight="15"/>
  <sheetData>
    <row r="9">
      <c r="E9">
        <f>IF(ISBLANK('モデル'!E9),1000,'モデル'!E$5*'モデル'!E9)</f>
        <v/>
      </c>
      <c r="F9">
        <f>IF(ISBLANK('モデル'!F9),1000,'モデル'!F$5*'モデル'!F9)</f>
        <v/>
      </c>
      <c r="G9">
        <f>IF(ISBLANK('モデル'!G9),1000,'モデル'!G$5*'モデル'!G9)</f>
        <v/>
      </c>
      <c r="H9">
        <f>IF(ISBLANK('モデル'!H9),1000,'モデル'!H$5*'モデル'!H9)</f>
        <v/>
      </c>
      <c r="I9">
        <f>IF(ISBLANK('モデル'!I9),1000,'モデル'!I$5*'モデル'!I9)</f>
        <v/>
      </c>
      <c r="J9">
        <f>IF(ISBLANK('モデル'!J9),1000,'モデル'!J$5*'モデル'!J9)</f>
        <v/>
      </c>
      <c r="K9">
        <f>IF(ISBLANK('モデル'!K9),1000,'モデル'!K$5*'モデル'!K9)</f>
        <v/>
      </c>
      <c r="L9">
        <f>IF(ISBLANK('モデル'!L9),1000,'モデル'!L$5*'モデル'!L9)</f>
        <v/>
      </c>
    </row>
    <row r="10">
      <c r="E10">
        <f>IF(ISBLANK('モデル'!E10),1000,'モデル'!E$5*'モデル'!E10)</f>
        <v/>
      </c>
      <c r="F10">
        <f>IF(ISBLANK('モデル'!F10),1000,'モデル'!F$5*'モデル'!F10)</f>
        <v/>
      </c>
      <c r="G10">
        <f>IF(ISBLANK('モデル'!G10),1000,'モデル'!G$5*'モデル'!G10)</f>
        <v/>
      </c>
      <c r="H10">
        <f>IF(ISBLANK('モデル'!H10),1000,'モデル'!H$5*'モデル'!H10)</f>
        <v/>
      </c>
      <c r="I10">
        <f>IF(ISBLANK('モデル'!I10),1000,'モデル'!I$5*'モデル'!I10)</f>
        <v/>
      </c>
      <c r="J10">
        <f>IF(ISBLANK('モデル'!J10),1000,'モデル'!J$5*'モデル'!J10)</f>
        <v/>
      </c>
      <c r="K10">
        <f>IF(ISBLANK('モデル'!K10),1000,'モデル'!K$5*'モデル'!K10)</f>
        <v/>
      </c>
      <c r="L10">
        <f>IF(ISBLANK('モデル'!L10),1000,'モデル'!L$5*'モデル'!L10)</f>
        <v/>
      </c>
    </row>
    <row r="11">
      <c r="E11">
        <f>IF(ISBLANK('モデル'!E11),1000,'モデル'!E$5*'モデル'!E11)</f>
        <v/>
      </c>
      <c r="F11">
        <f>IF(ISBLANK('モデル'!F11),1000,'モデル'!F$5*'モデル'!F11)</f>
        <v/>
      </c>
      <c r="G11">
        <f>IF(ISBLANK('モデル'!G11),1000,'モデル'!G$5*'モデル'!G11)</f>
        <v/>
      </c>
      <c r="H11">
        <f>IF(ISBLANK('モデル'!H11),1000,'モデル'!H$5*'モデル'!H11)</f>
        <v/>
      </c>
      <c r="I11">
        <f>IF(ISBLANK('モデル'!I11),1000,'モデル'!I$5*'モデル'!I11)</f>
        <v/>
      </c>
      <c r="J11">
        <f>IF(ISBLANK('モデル'!J11),1000,'モデル'!J$5*'モデル'!J11)</f>
        <v/>
      </c>
      <c r="K11">
        <f>IF(ISBLANK('モデル'!K11),1000,'モデル'!K$5*'モデル'!K11)</f>
        <v/>
      </c>
      <c r="L11">
        <f>IF(ISBLANK('モデル'!L11),1000,'モデル'!L$5*'モデル'!L11)</f>
        <v/>
      </c>
    </row>
    <row r="12">
      <c r="E12">
        <f>IF(ISBLANK('モデル'!E12),1000,'モデル'!E$5*'モデル'!E12)</f>
        <v/>
      </c>
      <c r="F12">
        <f>IF(ISBLANK('モデル'!F12),1000,'モデル'!F$5*'モデル'!F12)</f>
        <v/>
      </c>
      <c r="G12">
        <f>IF(ISBLANK('モデル'!G12),1000,'モデル'!G$5*'モデル'!G12)</f>
        <v/>
      </c>
      <c r="H12">
        <f>IF(ISBLANK('モデル'!H12),1000,'モデル'!H$5*'モデル'!H12)</f>
        <v/>
      </c>
      <c r="I12">
        <f>IF(ISBLANK('モデル'!I12),1000,'モデル'!I$5*'モデル'!I12)</f>
        <v/>
      </c>
      <c r="J12">
        <f>IF(ISBLANK('モデル'!J12),1000,'モデル'!J$5*'モデル'!J12)</f>
        <v/>
      </c>
      <c r="K12">
        <f>IF(ISBLANK('モデル'!K12),1000,'モデル'!K$5*'モデル'!K12)</f>
        <v/>
      </c>
      <c r="L12">
        <f>IF(ISBLANK('モデル'!L12),1000,'モデル'!L$5*'モデル'!L12)</f>
        <v/>
      </c>
    </row>
    <row r="13">
      <c r="E13">
        <f>IF(ISBLANK('モデル'!E13),1000,'モデル'!E$5*'モデル'!E13)</f>
        <v/>
      </c>
      <c r="F13">
        <f>IF(ISBLANK('モデル'!F13),1000,'モデル'!F$5*'モデル'!F13)</f>
        <v/>
      </c>
      <c r="G13">
        <f>IF(ISBLANK('モデル'!G13),1000,'モデル'!G$5*'モデル'!G13)</f>
        <v/>
      </c>
      <c r="H13">
        <f>IF(ISBLANK('モデル'!H13),1000,'モデル'!H$5*'モデル'!H13)</f>
        <v/>
      </c>
      <c r="I13">
        <f>IF(ISBLANK('モデル'!I13),1000,'モデル'!I$5*'モデル'!I13)</f>
        <v/>
      </c>
      <c r="J13">
        <f>IF(ISBLANK('モデル'!J13),1000,'モデル'!J$5*'モデル'!J13)</f>
        <v/>
      </c>
      <c r="K13">
        <f>IF(ISBLANK('モデル'!K13),1000,'モデル'!K$5*'モデル'!K13)</f>
        <v/>
      </c>
      <c r="L13">
        <f>IF(ISBLANK('モデル'!L13),1000,'モデル'!L$5*'モデル'!L13)</f>
        <v/>
      </c>
    </row>
    <row r="14">
      <c r="E14">
        <f>IF(ISBLANK('モデル'!E14),1000,'モデル'!E$5*'モデル'!E14)</f>
        <v/>
      </c>
      <c r="F14">
        <f>IF(ISBLANK('モデル'!F14),1000,'モデル'!F$5*'モデル'!F14)</f>
        <v/>
      </c>
      <c r="G14">
        <f>IF(ISBLANK('モデル'!G14),1000,'モデル'!G$5*'モデル'!G14)</f>
        <v/>
      </c>
      <c r="H14">
        <f>IF(ISBLANK('モデル'!H14),1000,'モデル'!H$5*'モデル'!H14)</f>
        <v/>
      </c>
      <c r="I14">
        <f>IF(ISBLANK('モデル'!I14),1000,'モデル'!I$5*'モデル'!I14)</f>
        <v/>
      </c>
      <c r="J14">
        <f>IF(ISBLANK('モデル'!J14),1000,'モデル'!J$5*'モデル'!J14)</f>
        <v/>
      </c>
      <c r="K14">
        <f>IF(ISBLANK('モデル'!K14),1000,'モデル'!K$5*'モデル'!K14)</f>
        <v/>
      </c>
      <c r="L14">
        <f>IF(ISBLANK('モデル'!L14),1000,'モデル'!L$5*'モデル'!L14)</f>
        <v/>
      </c>
    </row>
    <row r="15">
      <c r="E15">
        <f>IF(ISBLANK('モデル'!E15),1000,'モデル'!E$5*'モデル'!E15)</f>
        <v/>
      </c>
      <c r="F15">
        <f>IF(ISBLANK('モデル'!F15),1000,'モデル'!F$5*'モデル'!F15)</f>
        <v/>
      </c>
      <c r="G15">
        <f>IF(ISBLANK('モデル'!G15),1000,'モデル'!G$5*'モデル'!G15)</f>
        <v/>
      </c>
      <c r="H15">
        <f>IF(ISBLANK('モデル'!H15),1000,'モデル'!H$5*'モデル'!H15)</f>
        <v/>
      </c>
      <c r="I15">
        <f>IF(ISBLANK('モデル'!I15),1000,'モデル'!I$5*'モデル'!I15)</f>
        <v/>
      </c>
      <c r="J15">
        <f>IF(ISBLANK('モデル'!J15),1000,'モデル'!J$5*'モデル'!J15)</f>
        <v/>
      </c>
      <c r="K15">
        <f>IF(ISBLANK('モデル'!K15),1000,'モデル'!K$5*'モデル'!K15)</f>
        <v/>
      </c>
      <c r="L15">
        <f>IF(ISBLANK('モデル'!L15),1000,'モデル'!L$5*'モデル'!L15)</f>
        <v/>
      </c>
    </row>
    <row r="16">
      <c r="E16">
        <f>IF(ISBLANK('モデル'!E16),1000,'モデル'!E$5*'モデル'!E16)</f>
        <v/>
      </c>
      <c r="F16">
        <f>IF(ISBLANK('モデル'!F16),1000,'モデル'!F$5*'モデル'!F16)</f>
        <v/>
      </c>
      <c r="G16">
        <f>IF(ISBLANK('モデル'!G16),1000,'モデル'!G$5*'モデル'!G16)</f>
        <v/>
      </c>
      <c r="H16">
        <f>IF(ISBLANK('モデル'!H16),1000,'モデル'!H$5*'モデル'!H16)</f>
        <v/>
      </c>
      <c r="I16">
        <f>IF(ISBLANK('モデル'!I16),1000,'モデル'!I$5*'モデル'!I16)</f>
        <v/>
      </c>
      <c r="J16">
        <f>IF(ISBLANK('モデル'!J16),1000,'モデル'!J$5*'モデル'!J16)</f>
        <v/>
      </c>
      <c r="K16">
        <f>IF(ISBLANK('モデル'!K16),1000,'モデル'!K$5*'モデル'!K16)</f>
        <v/>
      </c>
      <c r="L16">
        <f>IF(ISBLANK('モデル'!L16),1000,'モデル'!L$5*'モデル'!L16)</f>
        <v/>
      </c>
    </row>
    <row r="17">
      <c r="E17">
        <f>IF(ISBLANK('モデル'!E17),1000,'モデル'!E$5*'モデル'!E17)</f>
        <v/>
      </c>
      <c r="F17">
        <f>IF(ISBLANK('モデル'!F17),1000,'モデル'!F$5*'モデル'!F17)</f>
        <v/>
      </c>
      <c r="G17">
        <f>IF(ISBLANK('モデル'!G17),1000,'モデル'!G$5*'モデル'!G17)</f>
        <v/>
      </c>
      <c r="H17">
        <f>IF(ISBLANK('モデル'!H17),1000,'モデル'!H$5*'モデル'!H17)</f>
        <v/>
      </c>
      <c r="I17">
        <f>IF(ISBLANK('モデル'!I17),1000,'モデル'!I$5*'モデル'!I17)</f>
        <v/>
      </c>
      <c r="J17">
        <f>IF(ISBLANK('モデル'!J17),1000,'モデル'!J$5*'モデル'!J17)</f>
        <v/>
      </c>
      <c r="K17">
        <f>IF(ISBLANK('モデル'!K17),1000,'モデル'!K$5*'モデル'!K17)</f>
        <v/>
      </c>
      <c r="L17">
        <f>IF(ISBLANK('モデル'!L17),1000,'モデル'!L$5*'モデル'!L17)</f>
        <v/>
      </c>
    </row>
    <row r="18">
      <c r="E18">
        <f>IF(ISBLANK('モデル'!E18),1000,'モデル'!E$5*'モデル'!E18)</f>
        <v/>
      </c>
      <c r="F18">
        <f>IF(ISBLANK('モデル'!F18),1000,'モデル'!F$5*'モデル'!F18)</f>
        <v/>
      </c>
      <c r="G18">
        <f>IF(ISBLANK('モデル'!G18),1000,'モデル'!G$5*'モデル'!G18)</f>
        <v/>
      </c>
      <c r="H18">
        <f>IF(ISBLANK('モデル'!H18),1000,'モデル'!H$5*'モデル'!H18)</f>
        <v/>
      </c>
      <c r="I18">
        <f>IF(ISBLANK('モデル'!I18),1000,'モデル'!I$5*'モデル'!I18)</f>
        <v/>
      </c>
      <c r="J18">
        <f>IF(ISBLANK('モデル'!J18),1000,'モデル'!J$5*'モデル'!J18)</f>
        <v/>
      </c>
      <c r="K18">
        <f>IF(ISBLANK('モデル'!K18),1000,'モデル'!K$5*'モデル'!K18)</f>
        <v/>
      </c>
      <c r="L18">
        <f>IF(ISBLANK('モデル'!L18),1000,'モデル'!L$5*'モデル'!L18)</f>
        <v/>
      </c>
    </row>
    <row r="19">
      <c r="E19">
        <f>IF(ISBLANK('モデル'!E19),1000,'モデル'!E$5*'モデル'!E19)</f>
        <v/>
      </c>
      <c r="F19">
        <f>IF(ISBLANK('モデル'!F19),1000,'モデル'!F$5*'モデル'!F19)</f>
        <v/>
      </c>
      <c r="G19">
        <f>IF(ISBLANK('モデル'!G19),1000,'モデル'!G$5*'モデル'!G19)</f>
        <v/>
      </c>
      <c r="H19">
        <f>IF(ISBLANK('モデル'!H19),1000,'モデル'!H$5*'モデル'!H19)</f>
        <v/>
      </c>
      <c r="I19">
        <f>IF(ISBLANK('モデル'!I19),1000,'モデル'!I$5*'モデル'!I19)</f>
        <v/>
      </c>
      <c r="J19">
        <f>IF(ISBLANK('モデル'!J19),1000,'モデル'!J$5*'モデル'!J19)</f>
        <v/>
      </c>
      <c r="K19">
        <f>IF(ISBLANK('モデル'!K19),1000,'モデル'!K$5*'モデル'!K19)</f>
        <v/>
      </c>
      <c r="L19">
        <f>IF(ISBLANK('モデル'!L19),1000,'モデル'!L$5*'モデル'!L19)</f>
        <v/>
      </c>
    </row>
    <row r="20">
      <c r="E20">
        <f>IF(ISBLANK('モデル'!E20),1000,'モデル'!E$5*'モデル'!E20)</f>
        <v/>
      </c>
      <c r="F20">
        <f>IF(ISBLANK('モデル'!F20),1000,'モデル'!F$5*'モデル'!F20)</f>
        <v/>
      </c>
      <c r="G20">
        <f>IF(ISBLANK('モデル'!G20),1000,'モデル'!G$5*'モデル'!G20)</f>
        <v/>
      </c>
      <c r="H20">
        <f>IF(ISBLANK('モデル'!H20),1000,'モデル'!H$5*'モデル'!H20)</f>
        <v/>
      </c>
      <c r="I20">
        <f>IF(ISBLANK('モデル'!I20),1000,'モデル'!I$5*'モデル'!I20)</f>
        <v/>
      </c>
      <c r="J20">
        <f>IF(ISBLANK('モデル'!J20),1000,'モデル'!J$5*'モデル'!J20)</f>
        <v/>
      </c>
      <c r="K20">
        <f>IF(ISBLANK('モデル'!K20),1000,'モデル'!K$5*'モデル'!K20)</f>
        <v/>
      </c>
      <c r="L20">
        <f>IF(ISBLANK('モデル'!L20),1000,'モデル'!L$5*'モデル'!L20)</f>
        <v/>
      </c>
    </row>
    <row r="21">
      <c r="E21">
        <f>IF(ISBLANK('モデル'!E21),1000,'モデル'!E$5*'モデル'!E21)</f>
        <v/>
      </c>
      <c r="F21">
        <f>IF(ISBLANK('モデル'!F21),1000,'モデル'!F$5*'モデル'!F21)</f>
        <v/>
      </c>
      <c r="G21">
        <f>IF(ISBLANK('モデル'!G21),1000,'モデル'!G$5*'モデル'!G21)</f>
        <v/>
      </c>
      <c r="H21">
        <f>IF(ISBLANK('モデル'!H21),1000,'モデル'!H$5*'モデル'!H21)</f>
        <v/>
      </c>
      <c r="I21">
        <f>IF(ISBLANK('モデル'!I21),1000,'モデル'!I$5*'モデル'!I21)</f>
        <v/>
      </c>
      <c r="J21">
        <f>IF(ISBLANK('モデル'!J21),1000,'モデル'!J$5*'モデル'!J21)</f>
        <v/>
      </c>
      <c r="K21">
        <f>IF(ISBLANK('モデル'!K21),1000,'モデル'!K$5*'モデル'!K21)</f>
        <v/>
      </c>
      <c r="L21">
        <f>IF(ISBLANK('モデル'!L21),1000,'モデル'!L$5*'モデル'!L21)</f>
        <v/>
      </c>
    </row>
    <row r="22">
      <c r="E22">
        <f>IF(ISBLANK('モデル'!E22),1000,'モデル'!E$5*'モデル'!E22)</f>
        <v/>
      </c>
      <c r="F22">
        <f>IF(ISBLANK('モデル'!F22),1000,'モデル'!F$5*'モデル'!F22)</f>
        <v/>
      </c>
      <c r="G22">
        <f>IF(ISBLANK('モデル'!G22),1000,'モデル'!G$5*'モデル'!G22)</f>
        <v/>
      </c>
      <c r="H22">
        <f>IF(ISBLANK('モデル'!H22),1000,'モデル'!H$5*'モデル'!H22)</f>
        <v/>
      </c>
      <c r="I22">
        <f>IF(ISBLANK('モデル'!I22),1000,'モデル'!I$5*'モデル'!I22)</f>
        <v/>
      </c>
      <c r="J22">
        <f>IF(ISBLANK('モデル'!J22),1000,'モデル'!J$5*'モデル'!J22)</f>
        <v/>
      </c>
      <c r="K22">
        <f>IF(ISBLANK('モデル'!K22),1000,'モデル'!K$5*'モデル'!K22)</f>
        <v/>
      </c>
      <c r="L22">
        <f>IF(ISBLANK('モデル'!L22),1000,'モデル'!L$5*'モデル'!L22)</f>
        <v/>
      </c>
    </row>
    <row r="23">
      <c r="E23">
        <f>IF(ISBLANK('モデル'!E23),1000,'モデル'!E$5*'モデル'!E23)</f>
        <v/>
      </c>
      <c r="F23">
        <f>IF(ISBLANK('モデル'!F23),1000,'モデル'!F$5*'モデル'!F23)</f>
        <v/>
      </c>
      <c r="G23">
        <f>IF(ISBLANK('モデル'!G23),1000,'モデル'!G$5*'モデル'!G23)</f>
        <v/>
      </c>
      <c r="H23">
        <f>IF(ISBLANK('モデル'!H23),1000,'モデル'!H$5*'モデル'!H23)</f>
        <v/>
      </c>
      <c r="I23">
        <f>IF(ISBLANK('モデル'!I23),1000,'モデル'!I$5*'モデル'!I23)</f>
        <v/>
      </c>
      <c r="J23">
        <f>IF(ISBLANK('モデル'!J23),1000,'モデル'!J$5*'モデル'!J23)</f>
        <v/>
      </c>
      <c r="K23">
        <f>IF(ISBLANK('モデル'!K23),1000,'モデル'!K$5*'モデル'!K23)</f>
        <v/>
      </c>
      <c r="L23">
        <f>IF(ISBLANK('モデル'!L23),1000,'モデル'!L$5*'モデル'!L23)</f>
        <v/>
      </c>
    </row>
    <row r="24">
      <c r="E24">
        <f>IF(ISBLANK('モデル'!E24),1000,'モデル'!E$5*'モデル'!E24)</f>
        <v/>
      </c>
      <c r="F24">
        <f>IF(ISBLANK('モデル'!F24),1000,'モデル'!F$5*'モデル'!F24)</f>
        <v/>
      </c>
      <c r="G24">
        <f>IF(ISBLANK('モデル'!G24),1000,'モデル'!G$5*'モデル'!G24)</f>
        <v/>
      </c>
      <c r="H24">
        <f>IF(ISBLANK('モデル'!H24),1000,'モデル'!H$5*'モデル'!H24)</f>
        <v/>
      </c>
      <c r="I24">
        <f>IF(ISBLANK('モデル'!I24),1000,'モデル'!I$5*'モデル'!I24)</f>
        <v/>
      </c>
      <c r="J24">
        <f>IF(ISBLANK('モデル'!J24),1000,'モデル'!J$5*'モデル'!J24)</f>
        <v/>
      </c>
      <c r="K24">
        <f>IF(ISBLANK('モデル'!K24),1000,'モデル'!K$5*'モデル'!K24)</f>
        <v/>
      </c>
      <c r="L24">
        <f>IF(ISBLANK('モデル'!L24),1000,'モデル'!L$5*'モデル'!L24)</f>
        <v/>
      </c>
    </row>
    <row r="25">
      <c r="E25">
        <f>IF(ISBLANK('モデル'!E25),1000,'モデル'!E$5*'モデル'!E25)</f>
        <v/>
      </c>
      <c r="F25">
        <f>IF(ISBLANK('モデル'!F25),1000,'モデル'!F$5*'モデル'!F25)</f>
        <v/>
      </c>
      <c r="G25">
        <f>IF(ISBLANK('モデル'!G25),1000,'モデル'!G$5*'モデル'!G25)</f>
        <v/>
      </c>
      <c r="H25">
        <f>IF(ISBLANK('モデル'!H25),1000,'モデル'!H$5*'モデル'!H25)</f>
        <v/>
      </c>
      <c r="I25">
        <f>IF(ISBLANK('モデル'!I25),1000,'モデル'!I$5*'モデル'!I25)</f>
        <v/>
      </c>
      <c r="J25">
        <f>IF(ISBLANK('モデル'!J25),1000,'モデル'!J$5*'モデル'!J25)</f>
        <v/>
      </c>
      <c r="K25">
        <f>IF(ISBLANK('モデル'!K25),1000,'モデル'!K$5*'モデル'!K25)</f>
        <v/>
      </c>
      <c r="L25">
        <f>IF(ISBLANK('モデル'!L25),1000,'モデル'!L$5*'モデル'!L25)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2026-10-16T11:50:17Z</dcterms:created>
  <dcterms:modified xmlns:dcterms="http://purl.org/dc/terms/" xmlns:xsi="http://www.w3.org/2001/XMLSchema-instance" xsi:type="dcterms:W3CDTF">2026-10-16T11:50:17Z</dcterms:modified>
</cp:coreProperties>
</file>